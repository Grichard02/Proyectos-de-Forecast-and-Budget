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OneDrive - Universidad Catolica Santa Maria La Antigua\Escritorio\COPA - Financial Models\"/>
    </mc:Choice>
  </mc:AlternateContent>
  <xr:revisionPtr revIDLastSave="0" documentId="13_ncr:1_{79B47053-85C0-44E4-85D0-9E843359CFFC}" xr6:coauthVersionLast="47" xr6:coauthVersionMax="47" xr10:uidLastSave="{00000000-0000-0000-0000-000000000000}"/>
  <bookViews>
    <workbookView xWindow="-108" yWindow="-108" windowWidth="23256" windowHeight="12576" activeTab="1" xr2:uid="{A7932AF8-220C-AD45-84A0-37C744945D28}"/>
  </bookViews>
  <sheets>
    <sheet name="Cover Page" sheetId="5" r:id="rId1"/>
    <sheet name="Goal Seek" sheetId="1" r:id="rId2"/>
    <sheet name="Sensitivity" sheetId="4" r:id="rId3"/>
    <sheet name="Scenario" sheetId="3" r:id="rId4"/>
  </sheets>
  <definedNames>
    <definedName name="solver_adj" localSheetId="1" hidden="1">'Goal Seek'!$C$5:$C$6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'Goal Seek'!$C$5</definedName>
    <definedName name="solver_lhs2" localSheetId="1" hidden="1">'Goal Seek'!$C$6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'Goal Seek'!$F$11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hs1" localSheetId="1" hidden="1">'Goal Seek'!$C$13</definedName>
    <definedName name="solver_rhs2" localSheetId="1" hidden="1">'Goal Seek'!$C$14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100000</definedName>
    <definedName name="solver_ver" localSheetId="1" hidden="1">3</definedName>
  </definedName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3" l="1"/>
  <c r="E5" i="3"/>
  <c r="C5" i="3"/>
  <c r="D4" i="3"/>
  <c r="E4" i="3"/>
  <c r="C4" i="3"/>
  <c r="F5" i="1"/>
  <c r="F6" i="1"/>
  <c r="F7" i="1"/>
  <c r="F9" i="1"/>
  <c r="F10" i="1"/>
  <c r="F8" i="1"/>
  <c r="F11" i="1"/>
  <c r="F5" i="4"/>
  <c r="F6" i="4"/>
  <c r="F7" i="4"/>
  <c r="F9" i="4"/>
  <c r="F10" i="4"/>
  <c r="F8" i="4"/>
  <c r="D6" i="3"/>
  <c r="E6" i="3"/>
  <c r="C6" i="3"/>
  <c r="C3" i="3"/>
  <c r="D3" i="3"/>
  <c r="E3" i="3"/>
  <c r="F11" i="4"/>
  <c r="I4" i="4"/>
  <c r="I9" i="4"/>
  <c r="I8" i="4"/>
  <c r="I5" i="4"/>
  <c r="I6" i="4"/>
  <c r="N4" i="4"/>
  <c r="M4" i="4"/>
  <c r="J4" i="4"/>
  <c r="K4" i="4"/>
</calcChain>
</file>

<file path=xl/sharedStrings.xml><?xml version="1.0" encoding="utf-8"?>
<sst xmlns="http://schemas.openxmlformats.org/spreadsheetml/2006/main" count="60" uniqueCount="41">
  <si>
    <t>Scenario Analysis</t>
  </si>
  <si>
    <t>Goal Seek</t>
  </si>
  <si>
    <t>Sensitivity Analysis</t>
  </si>
  <si>
    <t>Gross Profit</t>
  </si>
  <si>
    <t>$ in actual figures</t>
  </si>
  <si>
    <t>COGS</t>
  </si>
  <si>
    <t>Income Statement</t>
  </si>
  <si>
    <t>Revenue</t>
  </si>
  <si>
    <t>Taxes</t>
  </si>
  <si>
    <t>Revenues</t>
  </si>
  <si>
    <t>Net Income (Loss)</t>
  </si>
  <si>
    <t>Revenue Scenarios</t>
  </si>
  <si>
    <t>Costs</t>
  </si>
  <si>
    <t>Cost Scenarios</t>
  </si>
  <si>
    <t>1. Best Case</t>
  </si>
  <si>
    <t>2. Base Case</t>
  </si>
  <si>
    <t>3. Worst Case</t>
  </si>
  <si>
    <t>Quantity Sold</t>
  </si>
  <si>
    <t>Price per Unit</t>
  </si>
  <si>
    <t>Assumptions</t>
  </si>
  <si>
    <t>Price per unit</t>
  </si>
  <si>
    <t>Cost per unit</t>
  </si>
  <si>
    <t>Units sold</t>
  </si>
  <si>
    <t>SG&amp;A</t>
  </si>
  <si>
    <t>Tax rate</t>
  </si>
  <si>
    <t>Earnings Before Tax</t>
  </si>
  <si>
    <t>Price &amp; Quantity Sensitivity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</si>
  <si>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</si>
  <si>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</si>
  <si>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Made by Kenji Explains</t>
  </si>
  <si>
    <t>Note</t>
  </si>
  <si>
    <t>This 3 statement Excel model is solely for educational purposes and should not be used for any other purpose.</t>
  </si>
  <si>
    <t>All content is copyright material of Kenji Explains.</t>
  </si>
  <si>
    <t>This Excel model may not be reproduced or distributed by any means, including printing, 
screencapturing, or any other method without the prior permission of the publisher.</t>
  </si>
  <si>
    <t>Sensitivity, Scenario, and 
Goal Seek Analysis</t>
  </si>
  <si>
    <t xml:space="preserve">Constraints </t>
  </si>
  <si>
    <t>Net Incomes</t>
  </si>
  <si>
    <t xml:space="preserve">Units sold </t>
  </si>
  <si>
    <t xml:space="preserve">Price per unit </t>
  </si>
  <si>
    <t xml:space="preserve"> </t>
  </si>
  <si>
    <t xml:space="preserve">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</si>
</sst>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yyyy\E"/>
    <numFmt numFmtId="167" formatCode="0.0"/>
    <numFmt numFmtId="168" formatCode="_-* #,##0\ _€_-;\-* #,##0\ _€_-;_-* &quot;-&quot;?\ _€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u/>
      <sz val="14"/>
      <color rgb="FF0432FF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0" fillId="0" borderId="0" xfId="0" applyAlignment="1">
      <alignment horizontal="left" indent="1"/>
    </xf>
    <xf numFmtId="165" fontId="0" fillId="0" borderId="0" xfId="1" applyNumberFormat="1" applyFont="1"/>
    <xf numFmtId="0" fontId="0" fillId="2" borderId="0" xfId="0" applyFill="1"/>
    <xf numFmtId="0" fontId="0" fillId="2" borderId="0" xfId="0" applyFill="1" applyAlignment="1">
      <alignment horizontal="left" indent="1"/>
    </xf>
    <xf numFmtId="165" fontId="0" fillId="0" borderId="1" xfId="1" applyNumberFormat="1" applyFont="1" applyBorder="1"/>
    <xf numFmtId="166" fontId="2" fillId="4" borderId="0" xfId="0" applyNumberFormat="1" applyFont="1" applyFill="1"/>
    <xf numFmtId="166" fontId="0" fillId="2" borderId="0" xfId="0" applyNumberFormat="1" applyFill="1"/>
    <xf numFmtId="0" fontId="3" fillId="3" borderId="1" xfId="0" applyFont="1" applyFill="1" applyBorder="1"/>
    <xf numFmtId="165" fontId="3" fillId="3" borderId="1" xfId="1" applyNumberFormat="1" applyFont="1" applyFill="1" applyBorder="1"/>
    <xf numFmtId="0" fontId="2" fillId="4" borderId="0" xfId="0" applyFont="1" applyFill="1" applyAlignment="1">
      <alignment horizontal="left"/>
    </xf>
    <xf numFmtId="0" fontId="3" fillId="2" borderId="0" xfId="0" applyFont="1" applyFill="1"/>
    <xf numFmtId="165" fontId="4" fillId="2" borderId="0" xfId="1" applyNumberFormat="1" applyFont="1" applyFill="1"/>
    <xf numFmtId="0" fontId="4" fillId="2" borderId="0" xfId="0" applyFont="1" applyFill="1"/>
    <xf numFmtId="9" fontId="4" fillId="0" borderId="0" xfId="0" applyNumberFormat="1" applyFont="1"/>
    <xf numFmtId="165" fontId="0" fillId="0" borderId="0" xfId="1" applyNumberFormat="1" applyFont="1" applyAlignment="1">
      <alignment horizontal="right"/>
    </xf>
    <xf numFmtId="0" fontId="3" fillId="0" borderId="3" xfId="0" applyFont="1" applyBorder="1"/>
    <xf numFmtId="165" fontId="3" fillId="0" borderId="3" xfId="1" applyNumberFormat="1" applyFont="1" applyBorder="1"/>
    <xf numFmtId="165" fontId="4" fillId="0" borderId="0" xfId="1" applyNumberFormat="1" applyFont="1"/>
    <xf numFmtId="43" fontId="4" fillId="0" borderId="0" xfId="1" applyNumberFormat="1" applyFont="1"/>
    <xf numFmtId="167" fontId="0" fillId="0" borderId="2" xfId="0" applyNumberForma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8" fontId="0" fillId="0" borderId="0" xfId="0" applyNumberFormat="1"/>
    <xf numFmtId="165" fontId="4" fillId="0" borderId="1" xfId="1" applyNumberFormat="1" applyFont="1" applyBorder="1"/>
    <xf numFmtId="165" fontId="0" fillId="0" borderId="0" xfId="1" applyNumberFormat="1" applyFont="1" applyFill="1"/>
    <xf numFmtId="0" fontId="0" fillId="0" borderId="6" xfId="0" applyBorder="1"/>
    <xf numFmtId="0" fontId="0" fillId="0" borderId="7" xfId="0" applyBorder="1"/>
    <xf numFmtId="0" fontId="0" fillId="5" borderId="0" xfId="0" applyFill="1"/>
    <xf numFmtId="0" fontId="0" fillId="0" borderId="8" xfId="0" applyBorder="1"/>
    <xf numFmtId="0" fontId="0" fillId="0" borderId="4" xfId="0" applyBorder="1"/>
    <xf numFmtId="0" fontId="1" fillId="0" borderId="8" xfId="0" applyFont="1" applyBorder="1"/>
    <xf numFmtId="0" fontId="6" fillId="0" borderId="0" xfId="0" applyFont="1"/>
    <xf numFmtId="0" fontId="1" fillId="0" borderId="4" xfId="0" applyFont="1" applyBorder="1"/>
    <xf numFmtId="0" fontId="1" fillId="5" borderId="0" xfId="0" applyFont="1" applyFill="1"/>
    <xf numFmtId="0" fontId="1" fillId="0" borderId="0" xfId="0" applyFont="1"/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0" xfId="0" applyFill="1" applyAlignment="1">
      <alignment vertical="center"/>
    </xf>
    <xf numFmtId="0" fontId="8" fillId="0" borderId="5" xfId="0" applyFont="1" applyBorder="1"/>
    <xf numFmtId="0" fontId="0" fillId="0" borderId="0" xfId="0" applyAlignment="1">
      <alignment vertical="top" wrapText="1"/>
    </xf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9" fillId="0" borderId="3" xfId="0" applyFont="1" applyBorder="1" applyAlignment="1">
      <alignment horizontal="center" wrapText="1"/>
    </xf>
    <xf numFmtId="0" fontId="10" fillId="0" borderId="0" xfId="2" applyFont="1" applyFill="1" applyBorder="1"/>
    <xf numFmtId="0" fontId="11" fillId="3" borderId="9" xfId="2" applyFont="1" applyFill="1" applyBorder="1" applyAlignment="1">
      <alignment horizontal="center" vertical="center"/>
    </xf>
    <xf numFmtId="165" fontId="12" fillId="0" borderId="0" xfId="0" applyNumberFormat="1" applyFont="1"/>
    <xf numFmtId="165" fontId="0" fillId="0" borderId="12" xfId="1" applyNumberFormat="1" applyFont="1" applyFill="1" applyBorder="1"/>
    <xf numFmtId="165" fontId="0" fillId="0" borderId="13" xfId="1" applyNumberFormat="1" applyFont="1" applyFill="1" applyBorder="1"/>
    <xf numFmtId="165" fontId="0" fillId="0" borderId="14" xfId="1" applyNumberFormat="1" applyFont="1" applyFill="1" applyBorder="1"/>
    <xf numFmtId="165" fontId="0" fillId="0" borderId="15" xfId="1" applyNumberFormat="1" applyFont="1" applyFill="1" applyBorder="1"/>
    <xf numFmtId="165" fontId="0" fillId="0" borderId="16" xfId="1" applyNumberFormat="1" applyFont="1" applyFill="1" applyBorder="1"/>
    <xf numFmtId="165" fontId="0" fillId="0" borderId="17" xfId="1" applyNumberFormat="1" applyFont="1" applyFill="1" applyBorder="1"/>
    <xf numFmtId="165" fontId="0" fillId="0" borderId="18" xfId="1" applyNumberFormat="1" applyFont="1" applyFill="1" applyBorder="1"/>
    <xf numFmtId="165" fontId="0" fillId="0" borderId="19" xfId="1" applyNumberFormat="1" applyFont="1" applyFill="1" applyBorder="1"/>
    <xf numFmtId="165" fontId="3" fillId="0" borderId="0" xfId="1" applyNumberFormat="1" applyFont="1" applyFill="1" applyBorder="1"/>
    <xf numFmtId="165" fontId="12" fillId="0" borderId="1" xfId="1" applyNumberFormat="1" applyFont="1" applyBorder="1"/>
    <xf numFmtId="0" fontId="2" fillId="4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right" vertical="center" textRotation="9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293D68"/>
      <color rgb="FFFFFF99"/>
      <color rgb="FF0432FF"/>
      <color rgb="FF406C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398251</xdr:colOff>
      <xdr:row>1</xdr:row>
      <xdr:rowOff>92734</xdr:rowOff>
    </xdr:from>
    <xdr:to>
      <xdr:col>13</xdr:col>
      <xdr:colOff>115018</xdr:colOff>
      <xdr:row>9</xdr:row>
      <xdr:rowOff>14378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87954C-9411-FBEE-FD8B-9D9B386BC4F6}"/>
            </a:ext>
          </a:extLst>
        </xdr:cNvPr>
        <xdr:cNvSpPr txBox="1"/>
      </xdr:nvSpPr>
      <xdr:spPr>
        <a:xfrm>
          <a:off x="6134817" y="294017"/>
          <a:ext cx="5604295" cy="15319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</a:t>
          </a:r>
          <a:r>
            <a:rPr lang="en-US" sz="1100" baseline="0"/>
            <a:t> este caso se trata de llegar a una meta, la meta es llegar a tener un Income de 100000. </a:t>
          </a:r>
        </a:p>
        <a:p>
          <a:endParaRPr lang="en-US" sz="1100" baseline="0"/>
        </a:p>
        <a:p>
          <a:r>
            <a:rPr lang="en-US" sz="1100" baseline="0"/>
            <a:t>En este caso se utiliza Solver para llegar a la meta, pero como se puede ver, hay que poner constrainst para trabajar el solver. </a:t>
          </a:r>
        </a:p>
        <a:p>
          <a:endParaRPr lang="en-US" sz="1100" baseline="0"/>
        </a:p>
        <a:p>
          <a:r>
            <a:rPr lang="en-US" sz="1100"/>
            <a:t>Lo</a:t>
          </a:r>
          <a:r>
            <a:rPr lang="en-US" sz="1100" baseline="0"/>
            <a:t> que esta en color azul siempre serán valores constantes. 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826698</xdr:colOff>
      <xdr:row>12</xdr:row>
      <xdr:rowOff>7189</xdr:rowOff>
    </xdr:from>
    <xdr:to>
      <xdr:col>6</xdr:col>
      <xdr:colOff>71887</xdr:colOff>
      <xdr:row>19</xdr:row>
      <xdr:rowOff>172529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351A0E-4B98-D3F3-09C8-C43167D5F57E}"/>
            </a:ext>
          </a:extLst>
        </xdr:cNvPr>
        <xdr:cNvSpPr txBox="1"/>
      </xdr:nvSpPr>
      <xdr:spPr>
        <a:xfrm>
          <a:off x="826698" y="2422585"/>
          <a:ext cx="4277264" cy="1574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 prueba de sensibilidad</a:t>
          </a:r>
          <a:r>
            <a:rPr lang="en-US" sz="1100" baseline="0"/>
            <a:t> más que nada se centraba en tomar los assumptions y ver como quedaba el estado del ingreso. </a:t>
          </a:r>
        </a:p>
        <a:p>
          <a:endParaRPr lang="en-US" sz="1100" baseline="0"/>
        </a:p>
        <a:p>
          <a:r>
            <a:rPr lang="en-US" sz="1100" baseline="0"/>
            <a:t>Y como se puede ver se trata de buscar cuando sería el Income Net. Ganancia neta después de los impuestos.</a:t>
          </a:r>
        </a:p>
      </xdr:txBody>
    </xdr:sp>
    <xdr:clientData/>
  </xdr:twoCellAnchor>
  <xdr:twoCellAnchor>
    <xdr:from>
      <xdr:col>7</xdr:col>
      <xdr:colOff>1</xdr:colOff>
      <xdr:row>9</xdr:row>
      <xdr:rowOff>143774</xdr:rowOff>
    </xdr:from>
    <xdr:to>
      <xdr:col>13</xdr:col>
      <xdr:colOff>35944</xdr:colOff>
      <xdr:row>20</xdr:row>
      <xdr:rowOff>122207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B4237E-CE33-249F-AE8F-AF4923E1B10A}"/>
            </a:ext>
          </a:extLst>
        </xdr:cNvPr>
        <xdr:cNvSpPr txBox="1"/>
      </xdr:nvSpPr>
      <xdr:spPr>
        <a:xfrm>
          <a:off x="5707812" y="1955321"/>
          <a:ext cx="4579189" cy="21925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Sensibilidad</a:t>
          </a:r>
          <a:r>
            <a:rPr lang="en-US" sz="1100" baseline="0"/>
            <a:t> del precio y de las cantidades ventidas. </a:t>
          </a:r>
        </a:p>
        <a:p>
          <a:endParaRPr lang="en-US" sz="1100" baseline="0"/>
        </a:p>
        <a:p>
          <a:r>
            <a:rPr lang="en-US" sz="1100" baseline="0"/>
            <a:t>En este caso:</a:t>
          </a:r>
        </a:p>
        <a:p>
          <a:r>
            <a:rPr lang="en-US" sz="1100" baseline="0"/>
            <a:t>1. Precio: se colocan 2 dolares por debajo del precio y 2 dolares por encima del precio </a:t>
          </a:r>
        </a:p>
        <a:p>
          <a:endParaRPr lang="en-US" sz="1100" baseline="0"/>
        </a:p>
        <a:p>
          <a:r>
            <a:rPr lang="en-US" sz="1100" baseline="0"/>
            <a:t>2. Quantity: se hace el mismo procedimiento que se le hizo a al precio.</a:t>
          </a:r>
        </a:p>
        <a:p>
          <a:endParaRPr lang="en-US" sz="1100" baseline="0"/>
        </a:p>
        <a:p>
          <a:r>
            <a:rPr lang="en-US" sz="1100" baseline="0"/>
            <a:t>Esta tabla se trabaja con el forecast table. Se coloca de la siguiente manera -&gt;</a:t>
          </a:r>
        </a:p>
        <a:p>
          <a:endParaRPr lang="en-US" sz="1100" baseline="0"/>
        </a:p>
        <a:p>
          <a:r>
            <a:rPr lang="en-US" sz="1100"/>
            <a:t>N</a:t>
          </a:r>
          <a:r>
            <a:rPr lang="en-US" sz="1100" baseline="0"/>
            <a:t>o se pueden utilizar los valores que ya están dentro de la tabla. Tienen que ser los mismo valores pero los que se encuentran en la tabla de Assumptions</a:t>
          </a:r>
          <a:endParaRPr lang="en-US" sz="1100"/>
        </a:p>
      </xdr:txBody>
    </xdr:sp>
    <xdr:clientData/>
  </xdr:twoCellAnchor>
  <xdr:twoCellAnchor editAs="oneCell">
    <xdr:from>
      <xdr:col>13</xdr:col>
      <xdr:colOff>258792</xdr:colOff>
      <xdr:row>10</xdr:row>
      <xdr:rowOff>67533</xdr:rowOff>
    </xdr:from>
    <xdr:to>
      <xdr:col>20</xdr:col>
      <xdr:colOff>772906</xdr:colOff>
      <xdr:row>17</xdr:row>
      <xdr:rowOff>33361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279878-5410-8430-B312-A88BE3B6F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9849" y="2080363"/>
          <a:ext cx="6401642" cy="1374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805722</xdr:colOff>
      <xdr:row>1</xdr:row>
      <xdr:rowOff>93688</xdr:rowOff>
    </xdr:from>
    <xdr:to>
      <xdr:col>9</xdr:col>
      <xdr:colOff>805721</xdr:colOff>
      <xdr:row>9</xdr:row>
      <xdr:rowOff>143655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4CEE8C-2415-91EB-99C1-A1DF7A95460E}"/>
            </a:ext>
          </a:extLst>
        </xdr:cNvPr>
        <xdr:cNvSpPr txBox="1"/>
      </xdr:nvSpPr>
      <xdr:spPr>
        <a:xfrm>
          <a:off x="5802443" y="293557"/>
          <a:ext cx="3347803" cy="16489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Aca ya en este caso se utiliza</a:t>
          </a:r>
          <a:r>
            <a:rPr lang="en-US" sz="1100" baseline="0"/>
            <a:t> la formula =choose</a:t>
          </a:r>
        </a:p>
        <a:p>
          <a:endParaRPr lang="en-US" sz="1100" baseline="0"/>
        </a:p>
        <a:p>
          <a:r>
            <a:rPr lang="en-US" sz="1100" baseline="0"/>
            <a:t>Para así trabajar los distintos tipos de scenarios.</a:t>
          </a:r>
        </a:p>
        <a:p>
          <a:endParaRPr lang="en-US" sz="1100" baseline="0"/>
        </a:p>
        <a:p>
          <a:r>
            <a:rPr lang="en-US" sz="1100" baseline="0"/>
            <a:t>Si te vas a la tabla de herramientas a la parte de formulas, utiliza el Trace Precedents y te darás de cuenta que valores se utilizan para cada scenario de la formula. 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excel-financial-model-feb-20-2022&amp;utm_campaign=YTDownlo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0C60-3529-9346-A5D4-671FBF9FC844}">
  <dimension ref="B4:D20"/>
  <sheetViews>
    <sheetView showGridLines="0" topLeftCell="A3" workbookViewId="0">
      <selection activeCell="H10" sqref="H10"/>
    </sheetView>
  </sheetViews>
  <sheetFormatPr defaultColWidth="10.8984375" defaultRowHeight="15.6" x14ac:dyDescent="0.3"/>
  <cols>
    <col min="1" max="1" width="10.8984375" style="28"/>
    <col min="2" max="2" width="8.5" style="28" customWidth="1"/>
    <col min="3" max="3" width="102.59765625" style="28" bestFit="1" customWidth="1"/>
    <col min="4" max="4" width="9.5" style="28" customWidth="1"/>
    <col min="5" max="16384" width="10.8984375" style="28"/>
  </cols>
  <sheetData>
    <row r="4" spans="2:4" ht="92.4" x14ac:dyDescent="0.85">
      <c r="B4" s="26"/>
      <c r="C4" s="44" t="s">
        <v>34</v>
      </c>
      <c r="D4" s="27"/>
    </row>
    <row r="5" spans="2:4" x14ac:dyDescent="0.3">
      <c r="B5" s="29"/>
      <c r="C5"/>
      <c r="D5" s="30"/>
    </row>
    <row r="6" spans="2:4" x14ac:dyDescent="0.3">
      <c r="B6" s="29"/>
      <c r="C6"/>
      <c r="D6" s="30"/>
    </row>
    <row r="7" spans="2:4" x14ac:dyDescent="0.3">
      <c r="B7" s="29"/>
      <c r="C7"/>
      <c r="D7" s="30"/>
    </row>
    <row r="8" spans="2:4" s="34" customFormat="1" ht="21" x14ac:dyDescent="0.4">
      <c r="B8" s="31"/>
      <c r="C8" s="32" t="s">
        <v>27</v>
      </c>
      <c r="D8" s="33"/>
    </row>
    <row r="9" spans="2:4" s="34" customFormat="1" x14ac:dyDescent="0.3">
      <c r="B9" s="31"/>
      <c r="C9" s="35"/>
      <c r="D9" s="33"/>
    </row>
    <row r="10" spans="2:4" s="38" customFormat="1" ht="25.8" x14ac:dyDescent="0.3">
      <c r="B10" s="36"/>
      <c r="C10" s="46" t="s">
        <v>28</v>
      </c>
      <c r="D10" s="37"/>
    </row>
    <row r="11" spans="2:4" x14ac:dyDescent="0.3">
      <c r="B11" s="29"/>
      <c r="C11"/>
      <c r="D11" s="30"/>
    </row>
    <row r="12" spans="2:4" x14ac:dyDescent="0.3">
      <c r="B12" s="29"/>
      <c r="C12"/>
      <c r="D12" s="30"/>
    </row>
    <row r="13" spans="2:4" x14ac:dyDescent="0.3">
      <c r="B13" s="29"/>
      <c r="C13"/>
      <c r="D13" s="30"/>
    </row>
    <row r="14" spans="2:4" ht="18" x14ac:dyDescent="0.35">
      <c r="B14" s="29"/>
      <c r="C14" s="45" t="s">
        <v>29</v>
      </c>
      <c r="D14" s="30"/>
    </row>
    <row r="15" spans="2:4" x14ac:dyDescent="0.3">
      <c r="B15" s="29"/>
      <c r="C15"/>
      <c r="D15" s="30"/>
    </row>
    <row r="16" spans="2:4" x14ac:dyDescent="0.3">
      <c r="B16" s="29"/>
      <c r="C16" s="39" t="s">
        <v>30</v>
      </c>
      <c r="D16" s="30"/>
    </row>
    <row r="17" spans="2:4" x14ac:dyDescent="0.3">
      <c r="B17" s="29"/>
      <c r="C17" t="s">
        <v>31</v>
      </c>
      <c r="D17" s="30"/>
    </row>
    <row r="18" spans="2:4" x14ac:dyDescent="0.3">
      <c r="B18" s="29"/>
      <c r="C18" t="s">
        <v>32</v>
      </c>
      <c r="D18" s="30"/>
    </row>
    <row r="19" spans="2:4" ht="31.2" x14ac:dyDescent="0.3">
      <c r="B19" s="29"/>
      <c r="C19" s="40" t="s">
        <v>33</v>
      </c>
      <c r="D19" s="30"/>
    </row>
    <row r="20" spans="2:4" x14ac:dyDescent="0.3">
      <c r="B20" s="41"/>
      <c r="C20" s="42"/>
      <c r="D20" s="43"/>
    </row>
  </sheetData>
  <sheetProtection algorithmName="SHA-512" hashValue="jACqFv2FMZmlCzyr6090x3S+o3/VCZRJ0JIdKLaLSkcfq1XlX9ycvnMaW0pd2cE4zR2WsP1aFABn34eGB9D/zA==" saltValue="nV7cPqEzrzRbr49TBnqoDg==" spinCount="100000" sheet="1" objects="1" scenarios="1"/>
  <hyperlinks>
    <hyperlink ref="C10" r:id="rId1" xr:uid="{33384A27-1789-0A40-99CB-5949BA25C2D9}"/>
    <hyperlink ref="C14" r:id="rId2" xr:uid="{F70483DF-95BB-6842-8B01-5C34EC88FD9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46EB-28BD-D045-9096-3A32CA66F4F4}">
  <dimension ref="B2:F14"/>
  <sheetViews>
    <sheetView showGridLines="0" tabSelected="1" zoomScale="106" zoomScaleNormal="150" workbookViewId="0">
      <selection activeCell="F11" sqref="F11"/>
    </sheetView>
  </sheetViews>
  <sheetFormatPr defaultColWidth="11" defaultRowHeight="15.6" x14ac:dyDescent="0.3"/>
  <cols>
    <col min="1" max="1" width="10.8984375" customWidth="1"/>
    <col min="2" max="2" width="18.59765625" customWidth="1"/>
    <col min="4" max="4" width="6" customWidth="1"/>
    <col min="5" max="5" width="17.59765625" bestFit="1" customWidth="1"/>
  </cols>
  <sheetData>
    <row r="2" spans="2:6" s="1" customFormat="1" x14ac:dyDescent="0.3">
      <c r="B2" s="58" t="s">
        <v>1</v>
      </c>
      <c r="C2" s="58"/>
      <c r="D2" s="58"/>
      <c r="E2" s="58"/>
      <c r="F2" s="58"/>
    </row>
    <row r="4" spans="2:6" x14ac:dyDescent="0.3">
      <c r="B4" s="58" t="s">
        <v>19</v>
      </c>
      <c r="C4" s="58"/>
      <c r="E4" s="58" t="s">
        <v>6</v>
      </c>
      <c r="F4" s="58"/>
    </row>
    <row r="5" spans="2:6" x14ac:dyDescent="0.3">
      <c r="B5" t="s">
        <v>22</v>
      </c>
      <c r="C5" s="19">
        <v>25000</v>
      </c>
      <c r="D5" s="19"/>
      <c r="E5" t="s">
        <v>7</v>
      </c>
      <c r="F5" s="3">
        <f>C5*C6</f>
        <v>205332.27848227846</v>
      </c>
    </row>
    <row r="6" spans="2:6" x14ac:dyDescent="0.3">
      <c r="B6" t="s">
        <v>20</v>
      </c>
      <c r="C6" s="20">
        <v>8.2132911392911385</v>
      </c>
      <c r="D6" s="20"/>
      <c r="E6" t="s">
        <v>5</v>
      </c>
      <c r="F6" s="3">
        <f>C5*-C7</f>
        <v>-68750</v>
      </c>
    </row>
    <row r="7" spans="2:6" x14ac:dyDescent="0.3">
      <c r="B7" t="s">
        <v>21</v>
      </c>
      <c r="C7" s="20">
        <v>2.75</v>
      </c>
      <c r="D7" s="20"/>
      <c r="E7" s="17" t="s">
        <v>3</v>
      </c>
      <c r="F7" s="18">
        <f>F5+F6</f>
        <v>136582.27848227846</v>
      </c>
    </row>
    <row r="8" spans="2:6" x14ac:dyDescent="0.3">
      <c r="B8" t="s">
        <v>23</v>
      </c>
      <c r="C8" s="19">
        <v>10000</v>
      </c>
      <c r="D8" s="19"/>
      <c r="E8" t="s">
        <v>23</v>
      </c>
      <c r="F8" s="3">
        <f>-C8</f>
        <v>-10000</v>
      </c>
    </row>
    <row r="9" spans="2:6" x14ac:dyDescent="0.3">
      <c r="B9" t="s">
        <v>24</v>
      </c>
      <c r="C9" s="15">
        <v>0.21</v>
      </c>
      <c r="D9" s="15"/>
      <c r="E9" s="17" t="s">
        <v>25</v>
      </c>
      <c r="F9" s="18">
        <f>SUM(F7:F8)</f>
        <v>126582.27848227846</v>
      </c>
    </row>
    <row r="10" spans="2:6" x14ac:dyDescent="0.3">
      <c r="B10" s="2"/>
      <c r="C10" s="20"/>
      <c r="E10" t="s">
        <v>8</v>
      </c>
      <c r="F10" s="16">
        <f>IF(F9&lt;0,"0",F9*-C9)</f>
        <v>-26582.278481278474</v>
      </c>
    </row>
    <row r="11" spans="2:6" x14ac:dyDescent="0.3">
      <c r="B11" s="58" t="s">
        <v>35</v>
      </c>
      <c r="C11" s="58"/>
      <c r="E11" s="9" t="s">
        <v>10</v>
      </c>
      <c r="F11" s="10">
        <f>SUM(F9:F10)</f>
        <v>100000.00000099998</v>
      </c>
    </row>
    <row r="12" spans="2:6" x14ac:dyDescent="0.3">
      <c r="B12" t="s">
        <v>36</v>
      </c>
      <c r="C12">
        <v>100000</v>
      </c>
    </row>
    <row r="13" spans="2:6" x14ac:dyDescent="0.3">
      <c r="B13" t="s">
        <v>37</v>
      </c>
      <c r="C13">
        <v>25000</v>
      </c>
    </row>
    <row r="14" spans="2:6" x14ac:dyDescent="0.3">
      <c r="B14" t="s">
        <v>38</v>
      </c>
      <c r="C14">
        <v>9.99</v>
      </c>
    </row>
  </sheetData>
  <mergeCells count="4">
    <mergeCell ref="B4:C4"/>
    <mergeCell ref="B2:F2"/>
    <mergeCell ref="E4:F4"/>
    <mergeCell ref="B11:C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553E-0EF1-A14C-A178-DFC48A688122}">
  <dimension ref="B2:N18"/>
  <sheetViews>
    <sheetView showGridLines="0" zoomScale="106" zoomScaleNormal="150" workbookViewId="0">
      <selection activeCell="P5" sqref="P5"/>
    </sheetView>
  </sheetViews>
  <sheetFormatPr defaultColWidth="11" defaultRowHeight="15.6" x14ac:dyDescent="0.3"/>
  <cols>
    <col min="2" max="2" width="16.3984375" customWidth="1"/>
    <col min="3" max="3" width="8" bestFit="1" customWidth="1"/>
    <col min="4" max="4" width="4.59765625" customWidth="1"/>
    <col min="5" max="5" width="17" customWidth="1"/>
    <col min="6" max="6" width="9" bestFit="1" customWidth="1"/>
    <col min="7" max="7" width="8.8984375" customWidth="1"/>
    <col min="8" max="8" width="4.5" customWidth="1"/>
    <col min="9" max="9" width="10.8984375" customWidth="1"/>
  </cols>
  <sheetData>
    <row r="2" spans="2:14" x14ac:dyDescent="0.3">
      <c r="B2" s="58" t="s">
        <v>2</v>
      </c>
      <c r="C2" s="58"/>
      <c r="D2" s="58"/>
      <c r="E2" s="58"/>
      <c r="F2" s="58"/>
      <c r="H2" s="58" t="s">
        <v>26</v>
      </c>
      <c r="I2" s="58"/>
      <c r="J2" s="58"/>
      <c r="K2" s="58"/>
      <c r="L2" s="58"/>
      <c r="M2" s="58"/>
      <c r="N2" s="58"/>
    </row>
    <row r="3" spans="2:14" x14ac:dyDescent="0.3">
      <c r="J3" s="59" t="s">
        <v>17</v>
      </c>
      <c r="K3" s="59"/>
      <c r="L3" s="59"/>
      <c r="M3" s="59"/>
      <c r="N3" s="59"/>
    </row>
    <row r="4" spans="2:14" x14ac:dyDescent="0.3">
      <c r="B4" s="58" t="s">
        <v>19</v>
      </c>
      <c r="C4" s="58"/>
      <c r="E4" s="58" t="s">
        <v>6</v>
      </c>
      <c r="F4" s="58"/>
      <c r="I4" s="47">
        <f>F11</f>
        <v>100000.00000000124</v>
      </c>
      <c r="J4" s="57">
        <f>K4-5000</f>
        <v>15000</v>
      </c>
      <c r="K4" s="57">
        <f>L4-5000</f>
        <v>20000</v>
      </c>
      <c r="L4" s="24">
        <v>25000</v>
      </c>
      <c r="M4" s="6">
        <f>L4+5000</f>
        <v>30000</v>
      </c>
      <c r="N4" s="6">
        <f>M4+5000</f>
        <v>35000</v>
      </c>
    </row>
    <row r="5" spans="2:14" x14ac:dyDescent="0.3">
      <c r="B5" t="s">
        <v>22</v>
      </c>
      <c r="C5" s="19">
        <v>25000</v>
      </c>
      <c r="E5" t="s">
        <v>7</v>
      </c>
      <c r="F5" s="3">
        <f>C5*C6</f>
        <v>205332.27848101422</v>
      </c>
      <c r="H5" s="60" t="s">
        <v>18</v>
      </c>
      <c r="I5" s="21">
        <f>I6-1</f>
        <v>6.2132911392405692</v>
      </c>
      <c r="J5" s="25">
        <f t="dataTable" ref="J5:N9" dt2D="1" dtr="1" r1="C5" r2="C6"/>
        <v>33140.000000000742</v>
      </c>
      <c r="K5" s="25">
        <v>46820.000000000997</v>
      </c>
      <c r="L5" s="25">
        <v>60500.000000001237</v>
      </c>
      <c r="M5" s="25">
        <v>74180.000000001484</v>
      </c>
      <c r="N5" s="25">
        <v>87860.000000001746</v>
      </c>
    </row>
    <row r="6" spans="2:14" x14ac:dyDescent="0.3">
      <c r="B6" t="s">
        <v>20</v>
      </c>
      <c r="C6" s="20">
        <v>8.2132911392405692</v>
      </c>
      <c r="E6" t="s">
        <v>5</v>
      </c>
      <c r="F6" s="3">
        <f>-C5*C7</f>
        <v>-68750</v>
      </c>
      <c r="H6" s="60"/>
      <c r="I6" s="21">
        <f>I7-1</f>
        <v>7.2132911392405692</v>
      </c>
      <c r="J6" s="25">
        <v>44990.000000000742</v>
      </c>
      <c r="K6" s="48">
        <v>62620.00000000099</v>
      </c>
      <c r="L6" s="49">
        <v>80250.000000001237</v>
      </c>
      <c r="M6" s="50">
        <v>97880.000000001484</v>
      </c>
      <c r="N6" s="25">
        <v>115510.00000000175</v>
      </c>
    </row>
    <row r="7" spans="2:14" ht="15.9" customHeight="1" x14ac:dyDescent="0.3">
      <c r="B7" t="s">
        <v>21</v>
      </c>
      <c r="C7" s="20">
        <v>2.75</v>
      </c>
      <c r="E7" s="17" t="s">
        <v>3</v>
      </c>
      <c r="F7" s="18">
        <f>SUM(F5:F6)</f>
        <v>136582.27848101422</v>
      </c>
      <c r="H7" s="60"/>
      <c r="I7" s="22">
        <v>8.2132911392405692</v>
      </c>
      <c r="J7" s="25">
        <v>56840.000000000742</v>
      </c>
      <c r="K7" s="51">
        <v>78420.00000000099</v>
      </c>
      <c r="L7" s="56">
        <v>100000.00000000124</v>
      </c>
      <c r="M7" s="52">
        <v>121580.00000000148</v>
      </c>
      <c r="N7" s="25">
        <v>143160.00000000175</v>
      </c>
    </row>
    <row r="8" spans="2:14" x14ac:dyDescent="0.3">
      <c r="B8" t="s">
        <v>23</v>
      </c>
      <c r="C8" s="19">
        <v>10000</v>
      </c>
      <c r="E8" t="s">
        <v>23</v>
      </c>
      <c r="F8" s="3">
        <f>-C8</f>
        <v>-10000</v>
      </c>
      <c r="H8" s="60"/>
      <c r="I8" s="21">
        <f>I7+1</f>
        <v>9.2132911392405692</v>
      </c>
      <c r="J8" s="25">
        <v>68690.000000000742</v>
      </c>
      <c r="K8" s="53">
        <v>94220.00000000099</v>
      </c>
      <c r="L8" s="54">
        <v>119750.00000000124</v>
      </c>
      <c r="M8" s="55">
        <v>145280.00000000148</v>
      </c>
      <c r="N8" s="25">
        <v>170810.00000000175</v>
      </c>
    </row>
    <row r="9" spans="2:14" x14ac:dyDescent="0.3">
      <c r="B9" t="s">
        <v>24</v>
      </c>
      <c r="C9" s="15">
        <v>0.21</v>
      </c>
      <c r="E9" s="17" t="s">
        <v>25</v>
      </c>
      <c r="F9" s="18">
        <f>SUM(F7:F8)</f>
        <v>126582.27848101422</v>
      </c>
      <c r="H9" s="60"/>
      <c r="I9" s="21">
        <f>I8+1</f>
        <v>10.213291139240569</v>
      </c>
      <c r="J9" s="25">
        <v>80540.000000000742</v>
      </c>
      <c r="K9" s="25">
        <v>110020.00000000099</v>
      </c>
      <c r="L9" s="25">
        <v>139500.00000000122</v>
      </c>
      <c r="M9" s="25">
        <v>168980.00000000148</v>
      </c>
      <c r="N9" s="25">
        <v>198460.00000000175</v>
      </c>
    </row>
    <row r="10" spans="2:14" x14ac:dyDescent="0.3">
      <c r="E10" t="s">
        <v>8</v>
      </c>
      <c r="F10" s="16">
        <f>IF(F9&lt;=0,"0",-C9*F9)</f>
        <v>-26582.278481012985</v>
      </c>
    </row>
    <row r="11" spans="2:14" x14ac:dyDescent="0.3">
      <c r="E11" s="9" t="s">
        <v>10</v>
      </c>
      <c r="F11" s="10">
        <f>SUM(F9:F10)</f>
        <v>100000.00000000124</v>
      </c>
    </row>
    <row r="18" spans="13:13" x14ac:dyDescent="0.3">
      <c r="M18" t="s">
        <v>39</v>
      </c>
    </row>
  </sheetData>
  <mergeCells count="6">
    <mergeCell ref="J3:N3"/>
    <mergeCell ref="B4:C4"/>
    <mergeCell ref="E4:F4"/>
    <mergeCell ref="B2:F2"/>
    <mergeCell ref="H5:H9"/>
    <mergeCell ref="H2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9C49-B9BD-B54B-BED3-D93AFB993CBC}">
  <dimension ref="B2:H20"/>
  <sheetViews>
    <sheetView showGridLines="0" zoomScale="122" zoomScaleNormal="150" workbookViewId="0">
      <selection activeCell="E9" sqref="E9"/>
    </sheetView>
  </sheetViews>
  <sheetFormatPr defaultColWidth="11" defaultRowHeight="15.6" x14ac:dyDescent="0.3"/>
  <cols>
    <col min="2" max="2" width="21.59765625" bestFit="1" customWidth="1"/>
  </cols>
  <sheetData>
    <row r="2" spans="2:8" x14ac:dyDescent="0.3">
      <c r="B2" s="58" t="s">
        <v>0</v>
      </c>
      <c r="C2" s="58"/>
      <c r="D2" s="58"/>
      <c r="E2" s="58"/>
    </row>
    <row r="3" spans="2:8" x14ac:dyDescent="0.3">
      <c r="B3" s="11" t="s">
        <v>4</v>
      </c>
      <c r="C3" s="7">
        <f>DATE(2025,12,18)</f>
        <v>46009</v>
      </c>
      <c r="D3" s="7">
        <f>EDATE(C3,12)</f>
        <v>46374</v>
      </c>
      <c r="E3" s="7">
        <f>EDATE(D3,12)</f>
        <v>46739</v>
      </c>
    </row>
    <row r="4" spans="2:8" x14ac:dyDescent="0.3">
      <c r="B4" t="s">
        <v>9</v>
      </c>
      <c r="C4" s="3">
        <f>CHOOSE($C$8,C13,C14,C15)</f>
        <v>50000</v>
      </c>
      <c r="D4" s="3">
        <f t="shared" ref="D4:E4" si="0">CHOOSE($C$8,D13,D14,D15)</f>
        <v>125000</v>
      </c>
      <c r="E4" s="3">
        <f t="shared" si="0"/>
        <v>250000</v>
      </c>
    </row>
    <row r="5" spans="2:8" x14ac:dyDescent="0.3">
      <c r="B5" t="s">
        <v>12</v>
      </c>
      <c r="C5" s="3">
        <f>CHOOSE($C$8,C18,C19,C20)</f>
        <v>-5000</v>
      </c>
      <c r="D5" s="3">
        <f t="shared" ref="D5:E5" si="1">CHOOSE($C$8,D18,D19,D20)</f>
        <v>-12500</v>
      </c>
      <c r="E5" s="3">
        <f t="shared" si="1"/>
        <v>-25000</v>
      </c>
    </row>
    <row r="6" spans="2:8" x14ac:dyDescent="0.3">
      <c r="B6" s="9" t="s">
        <v>10</v>
      </c>
      <c r="C6" s="10">
        <f>SUM(C4:C5)</f>
        <v>45000</v>
      </c>
      <c r="D6" s="10">
        <f t="shared" ref="D6:E6" si="2">SUM(D4:D5)</f>
        <v>112500</v>
      </c>
      <c r="E6" s="10">
        <f t="shared" si="2"/>
        <v>225000</v>
      </c>
    </row>
    <row r="8" spans="2:8" x14ac:dyDescent="0.3">
      <c r="B8" t="s">
        <v>40</v>
      </c>
      <c r="C8">
        <v>1</v>
      </c>
    </row>
    <row r="12" spans="2:8" x14ac:dyDescent="0.3">
      <c r="B12" s="12" t="s">
        <v>11</v>
      </c>
      <c r="C12" s="8"/>
      <c r="D12" s="8"/>
      <c r="E12" s="8"/>
    </row>
    <row r="13" spans="2:8" x14ac:dyDescent="0.3">
      <c r="B13" s="5" t="s">
        <v>14</v>
      </c>
      <c r="C13" s="13">
        <v>50000</v>
      </c>
      <c r="D13" s="13">
        <v>125000</v>
      </c>
      <c r="E13" s="13">
        <v>250000</v>
      </c>
      <c r="F13" s="23"/>
      <c r="G13" s="23"/>
      <c r="H13" s="23"/>
    </row>
    <row r="14" spans="2:8" x14ac:dyDescent="0.3">
      <c r="B14" s="5" t="s">
        <v>15</v>
      </c>
      <c r="C14" s="13">
        <v>25000</v>
      </c>
      <c r="D14" s="13">
        <v>37500</v>
      </c>
      <c r="E14" s="13">
        <v>50000</v>
      </c>
      <c r="F14" s="23"/>
      <c r="G14" s="23"/>
      <c r="H14" s="23"/>
    </row>
    <row r="15" spans="2:8" x14ac:dyDescent="0.3">
      <c r="B15" s="5" t="s">
        <v>16</v>
      </c>
      <c r="C15" s="13">
        <v>12500</v>
      </c>
      <c r="D15" s="13">
        <v>13000</v>
      </c>
      <c r="E15" s="13">
        <v>13250</v>
      </c>
      <c r="F15" s="23"/>
      <c r="G15" s="23"/>
      <c r="H15" s="23"/>
    </row>
    <row r="16" spans="2:8" x14ac:dyDescent="0.3">
      <c r="B16" s="4"/>
      <c r="C16" s="14"/>
      <c r="D16" s="14"/>
      <c r="E16" s="14"/>
    </row>
    <row r="17" spans="2:8" x14ac:dyDescent="0.3">
      <c r="B17" s="12" t="s">
        <v>13</v>
      </c>
      <c r="C17" s="14"/>
      <c r="D17" s="14"/>
      <c r="E17" s="14"/>
    </row>
    <row r="18" spans="2:8" x14ac:dyDescent="0.3">
      <c r="B18" s="5" t="s">
        <v>14</v>
      </c>
      <c r="C18" s="13">
        <v>-5000</v>
      </c>
      <c r="D18" s="13">
        <v>-12500</v>
      </c>
      <c r="E18" s="13">
        <v>-25000</v>
      </c>
      <c r="F18" s="23"/>
      <c r="G18" s="23"/>
      <c r="H18" s="23"/>
    </row>
    <row r="19" spans="2:8" x14ac:dyDescent="0.3">
      <c r="B19" s="5" t="s">
        <v>15</v>
      </c>
      <c r="C19" s="13">
        <v>-16000</v>
      </c>
      <c r="D19" s="13">
        <v>-25000</v>
      </c>
      <c r="E19" s="13">
        <v>-37500</v>
      </c>
      <c r="F19" s="23"/>
      <c r="G19" s="23"/>
      <c r="H19" s="23"/>
    </row>
    <row r="20" spans="2:8" x14ac:dyDescent="0.3">
      <c r="B20" s="5" t="s">
        <v>16</v>
      </c>
      <c r="C20" s="13">
        <v>-22500</v>
      </c>
      <c r="D20" s="13">
        <v>-30000</v>
      </c>
      <c r="E20" s="13">
        <v>-45000</v>
      </c>
      <c r="F20" s="23"/>
      <c r="G20" s="23"/>
      <c r="H20" s="23"/>
    </row>
  </sheetData>
  <mergeCells count="1">
    <mergeCell ref="B2:E2"/>
  </mergeCells>
  <dataValidations count="1">
    <dataValidation type="list" allowBlank="1" showInputMessage="1" showErrorMessage="1" sqref="C8" xr:uid="{04C24BC2-9D34-4A7F-936B-0104C1F46185}">
      <formula1>"1,2,3"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Goal Seek</vt:lpstr>
      <vt:lpstr>Sensitivity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richard guerra</cp:lastModifiedBy>
  <dcterms:created xsi:type="dcterms:W3CDTF">2022-02-16T09:29:36Z</dcterms:created>
  <dcterms:modified xsi:type="dcterms:W3CDTF">2025-12-28T16:21:44Z</dcterms:modified>
</cp:coreProperties>
</file>